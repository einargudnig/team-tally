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Samantekt" sheetId="2" state="visible" r:id="rId4"/>
    <sheet name="Lesefn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<sst xmlns="http://schemas.openxmlformats.org/spreadsheetml/2006/main" count="246" uniqueCount="168">
  <si>
    <t xml:space="preserve">Deild</t>
  </si>
  <si>
    <t xml:space="preserve">Riðill</t>
  </si>
  <si>
    <t xml:space="preserve">Lið</t>
  </si>
  <si>
    <t xml:space="preserve">Bær / hverfi</t>
  </si>
  <si>
    <t xml:space="preserve">Instagram</t>
  </si>
  <si>
    <t xml:space="preserve">Facebook</t>
  </si>
  <si>
    <t xml:space="preserve">Athugasemd</t>
  </si>
  <si>
    <t xml:space="preserve">Sent (dags.)</t>
  </si>
  <si>
    <t xml:space="preserve">Rás</t>
  </si>
  <si>
    <t xml:space="preserve">Svarað?</t>
  </si>
  <si>
    <t xml:space="preserve">Áhugi</t>
  </si>
  <si>
    <t xml:space="preserve">Pilot?</t>
  </si>
  <si>
    <t xml:space="preserve">Síðasta samband</t>
  </si>
  <si>
    <t xml:space="preserve">Næsta uppfylgni</t>
  </si>
  <si>
    <t xml:space="preserve">Nótur frá samtali</t>
  </si>
  <si>
    <t xml:space="preserve">4. deild karla</t>
  </si>
  <si>
    <t xml:space="preserve">Álftanes</t>
  </si>
  <si>
    <t xml:space="preserve">fb: alftanes</t>
  </si>
  <si>
    <t xml:space="preserve">Líka kvennalið í 2. deild kvk</t>
  </si>
  <si>
    <t xml:space="preserve">Árborg</t>
  </si>
  <si>
    <t xml:space="preserve">Selfoss</t>
  </si>
  <si>
    <t xml:space="preserve">@arborgfc</t>
  </si>
  <si>
    <t xml:space="preserve">fb: arborgfc</t>
  </si>
  <si>
    <t xml:space="preserve">IG handle best-guess — staðfesta</t>
  </si>
  <si>
    <t xml:space="preserve">Úlfarnir</t>
  </si>
  <si>
    <t xml:space="preserve">Úlfarsárdalur (Rvk)</t>
  </si>
  <si>
    <t xml:space="preserve">fb: pages/category/Sports-team/%C3%9A...</t>
  </si>
  <si>
    <t xml:space="preserve">Elliði</t>
  </si>
  <si>
    <t xml:space="preserve">Árbær (Rvk)</t>
  </si>
  <si>
    <t xml:space="preserve">fb: EllidiFC</t>
  </si>
  <si>
    <t xml:space="preserve">Vængir Júpiters</t>
  </si>
  <si>
    <t xml:space="preserve">Grafarvogur (Rvk)</t>
  </si>
  <si>
    <t xml:space="preserve">@vaengir_jupiters</t>
  </si>
  <si>
    <t xml:space="preserve">fb: vaengirjupiters</t>
  </si>
  <si>
    <t xml:space="preserve">Aktívt á IG</t>
  </si>
  <si>
    <t xml:space="preserve">Hamar</t>
  </si>
  <si>
    <t xml:space="preserve">Hveragerði</t>
  </si>
  <si>
    <t xml:space="preserve">fb: hamar.knattspyrna</t>
  </si>
  <si>
    <t xml:space="preserve">Hafnir</t>
  </si>
  <si>
    <t xml:space="preserve">Reykjanesbær</t>
  </si>
  <si>
    <t xml:space="preserve">@hafnir_kf</t>
  </si>
  <si>
    <t xml:space="preserve">fb: KFHafnir</t>
  </si>
  <si>
    <t xml:space="preserve">Álafoss</t>
  </si>
  <si>
    <t xml:space="preserve">Mosfellsbær</t>
  </si>
  <si>
    <t xml:space="preserve">fb: KFAlafoss</t>
  </si>
  <si>
    <t xml:space="preserve">KFR</t>
  </si>
  <si>
    <t xml:space="preserve">Hvolsvöllur</t>
  </si>
  <si>
    <t xml:space="preserve">fb: KnattspyrnufelagRangaeinga</t>
  </si>
  <si>
    <t xml:space="preserve">ÍH</t>
  </si>
  <si>
    <t xml:space="preserve">Hafnarfjörður</t>
  </si>
  <si>
    <t xml:space="preserve">@ihfotbolti</t>
  </si>
  <si>
    <t xml:space="preserve">fb: p/%C3%8DH-100063566743991</t>
  </si>
  <si>
    <t xml:space="preserve">Íþróttafélag Hafnarfjarðar — ekki Hörður</t>
  </si>
  <si>
    <t xml:space="preserve">5. deild karla</t>
  </si>
  <si>
    <t xml:space="preserve">A riðill</t>
  </si>
  <si>
    <t xml:space="preserve">SR</t>
  </si>
  <si>
    <t xml:space="preserve">Reykjavík (Laugardalur)</t>
  </si>
  <si>
    <t xml:space="preserve">@throttur</t>
  </si>
  <si>
    <t xml:space="preserve">fb: ThrotturKnattspyrna</t>
  </si>
  <si>
    <t xml:space="preserve">Þróttur Rvk varalið — senda á Þrótt</t>
  </si>
  <si>
    <t xml:space="preserve">Smári</t>
  </si>
  <si>
    <t xml:space="preserve">Kópavogur</t>
  </si>
  <si>
    <t xml:space="preserve">@kf_smari</t>
  </si>
  <si>
    <t xml:space="preserve">fb: 61564912055987</t>
  </si>
  <si>
    <t xml:space="preserve">Skallagrímur</t>
  </si>
  <si>
    <t xml:space="preserve">Borgarnes</t>
  </si>
  <si>
    <t xml:space="preserve">fb: fotboltiskallagrimur</t>
  </si>
  <si>
    <t xml:space="preserve">Uppsveitir</t>
  </si>
  <si>
    <t xml:space="preserve">Uppsveitir Árnessýslu</t>
  </si>
  <si>
    <t xml:space="preserve">fb: uppsveitir</t>
  </si>
  <si>
    <t xml:space="preserve">Þorlákur</t>
  </si>
  <si>
    <t xml:space="preserve">Álftanes/Garðabær (225)</t>
  </si>
  <si>
    <t xml:space="preserve">@thorlakurfc</t>
  </si>
  <si>
    <t xml:space="preserve">fb: thorlakurfc</t>
  </si>
  <si>
    <t xml:space="preserve">Ekki Þorlákshöfn þrátt fyrir nafn</t>
  </si>
  <si>
    <t xml:space="preserve">KFS</t>
  </si>
  <si>
    <t xml:space="preserve">Vestmannaeyjar</t>
  </si>
  <si>
    <t xml:space="preserve">fb: KFSVestmannaeyjar</t>
  </si>
  <si>
    <t xml:space="preserve">Hörður Í.</t>
  </si>
  <si>
    <t xml:space="preserve">Ísafjörður</t>
  </si>
  <si>
    <t xml:space="preserve">fb: hordur.isafjordur</t>
  </si>
  <si>
    <t xml:space="preserve">Afríka</t>
  </si>
  <si>
    <t xml:space="preserve">Reykjavík (111)</t>
  </si>
  <si>
    <t xml:space="preserve">Engin félagsmiðlavera — senda á KSÍ</t>
  </si>
  <si>
    <t xml:space="preserve">B riðill</t>
  </si>
  <si>
    <t xml:space="preserve">Hamrarnir</t>
  </si>
  <si>
    <t xml:space="preserve">Akureyri</t>
  </si>
  <si>
    <t xml:space="preserve">fb: hamrarnir</t>
  </si>
  <si>
    <t xml:space="preserve">KM</t>
  </si>
  <si>
    <t xml:space="preserve">@kmreykjavik</t>
  </si>
  <si>
    <t xml:space="preserve">fb: kmreykjavik</t>
  </si>
  <si>
    <t xml:space="preserve">Kría</t>
  </si>
  <si>
    <t xml:space="preserve">Seltjarnarnes</t>
  </si>
  <si>
    <t xml:space="preserve">@kria.fotbolti</t>
  </si>
  <si>
    <t xml:space="preserve">fb: kria.is</t>
  </si>
  <si>
    <t xml:space="preserve">RB</t>
  </si>
  <si>
    <t xml:space="preserve">Reykjavík</t>
  </si>
  <si>
    <t xml:space="preserve">fb: p/Knattspyrnuf%C3%A9lagi%C3%B0-RB...</t>
  </si>
  <si>
    <t xml:space="preserve">Stokkseyri</t>
  </si>
  <si>
    <t xml:space="preserve">@mflstokkseyri</t>
  </si>
  <si>
    <t xml:space="preserve">fb: MeistaraflokkurStokkseyrar</t>
  </si>
  <si>
    <t xml:space="preserve">KB</t>
  </si>
  <si>
    <t xml:space="preserve">Breiðholt (Rvk)</t>
  </si>
  <si>
    <t xml:space="preserve">@breidholts</t>
  </si>
  <si>
    <t xml:space="preserve">fb: KBLeiknir</t>
  </si>
  <si>
    <t xml:space="preserve">Leiknir Rvk varalið — má líka senda á Leikni</t>
  </si>
  <si>
    <t xml:space="preserve">BF 108</t>
  </si>
  <si>
    <t xml:space="preserve">Háaleiti/Bústaðir (Rvk)</t>
  </si>
  <si>
    <t xml:space="preserve">@bf108rvk</t>
  </si>
  <si>
    <t xml:space="preserve">Bara IG — engin sjálfstæð FB</t>
  </si>
  <si>
    <t xml:space="preserve">Léttir</t>
  </si>
  <si>
    <t xml:space="preserve">Breiðholt (Rvk, 109)</t>
  </si>
  <si>
    <t xml:space="preserve">@irfotbolti</t>
  </si>
  <si>
    <t xml:space="preserve">fb: IRFotbolti</t>
  </si>
  <si>
    <t xml:space="preserve">ÍR varalið — senda á ÍR</t>
  </si>
  <si>
    <t xml:space="preserve">2. deild kvenna</t>
  </si>
  <si>
    <t xml:space="preserve">Einherji</t>
  </si>
  <si>
    <t xml:space="preserve">Vopnafjörður</t>
  </si>
  <si>
    <t xml:space="preserve">fb: umfeinherji</t>
  </si>
  <si>
    <t xml:space="preserve">Fjölnir</t>
  </si>
  <si>
    <t xml:space="preserve">@fjolnir_fc</t>
  </si>
  <si>
    <t xml:space="preserve">fb: fjolnirfc</t>
  </si>
  <si>
    <t xml:space="preserve">Afturelding</t>
  </si>
  <si>
    <t xml:space="preserve">@aftureldingknattspyrna</t>
  </si>
  <si>
    <t xml:space="preserve">fb: aftureldingknattspyrna</t>
  </si>
  <si>
    <t xml:space="preserve">Vestri</t>
  </si>
  <si>
    <t xml:space="preserve">@vestriknattspyrnakvk</t>
  </si>
  <si>
    <t xml:space="preserve">fb: Vestri.Knattspyrna</t>
  </si>
  <si>
    <t xml:space="preserve">Fylkir</t>
  </si>
  <si>
    <t xml:space="preserve">@fylkirknd</t>
  </si>
  <si>
    <t xml:space="preserve">fb: fylkir</t>
  </si>
  <si>
    <t xml:space="preserve">Augnablik</t>
  </si>
  <si>
    <t xml:space="preserve">@augnablik.kk</t>
  </si>
  <si>
    <t xml:space="preserve">fb: augnablikar</t>
  </si>
  <si>
    <t xml:space="preserve">KÞ</t>
  </si>
  <si>
    <t xml:space="preserve">@throtturmflkvk</t>
  </si>
  <si>
    <t xml:space="preserve">Þróttur Rvk varalið kvk — senda á Þrótt</t>
  </si>
  <si>
    <t xml:space="preserve">Dalvík/Reynir</t>
  </si>
  <si>
    <t xml:space="preserve">Dalvík / Árskógsströnd</t>
  </si>
  <si>
    <t xml:space="preserve">@dalvikreynir</t>
  </si>
  <si>
    <t xml:space="preserve">fb: dalviksport</t>
  </si>
  <si>
    <t xml:space="preserve">ÍR</t>
  </si>
  <si>
    <t xml:space="preserve">Líka karlalið í 4. deild karla</t>
  </si>
  <si>
    <t xml:space="preserve">Líka karlalið í 5. deild karla A</t>
  </si>
  <si>
    <t xml:space="preserve">Team Tally — útsendingaryfirlit</t>
  </si>
  <si>
    <t xml:space="preserve">Heildarfjöldi liða</t>
  </si>
  <si>
    <t xml:space="preserve">Send skilaboð</t>
  </si>
  <si>
    <t xml:space="preserve">Svar fengið</t>
  </si>
  <si>
    <t xml:space="preserve">Áhugasamir (Mjög + Áhugasamur)</t>
  </si>
  <si>
    <t xml:space="preserve">Pilot pottur</t>
  </si>
  <si>
    <t xml:space="preserve">Svarhlutfall</t>
  </si>
  <si>
    <t xml:space="preserve">Hjálparnótur</t>
  </si>
  <si>
    <t xml:space="preserve">• Litir á aðallista: 4. deild karla = appelsínugulur, 5. deild karla = blár, 2. deild kvenna = bleikur.</t>
  </si>
  <si>
    <t xml:space="preserve">• Smelltu á Instagram/Facebook-frumur til að opna síðuna.</t>
  </si>
  <si>
    <t xml:space="preserve">• Dálkar með dropdown-vali: Rás, Svarað?, Áhugi, Pilot?</t>
  </si>
  <si>
    <t xml:space="preserve">• Send (dags.) og Síðasta samband — skrifaðu dagsetninguna í 'YYYY-MM-DD' sniði.</t>
  </si>
  <si>
    <t xml:space="preserve">Varalið — sendu á aðalfélagið, ekki á varafélagið beint:</t>
  </si>
  <si>
    <t xml:space="preserve">• SR + KÞ → Þróttur Reykjavík (trottur.is / @throttur / Þróttur Knattspyrna á FB)</t>
  </si>
  <si>
    <t xml:space="preserve">• Léttir → ÍR (ir.is / @irfotbolti)</t>
  </si>
  <si>
    <t xml:space="preserve">• KB → Leiknir Reykjavík</t>
  </si>
  <si>
    <t xml:space="preserve">Lið án félagsmiðla:</t>
  </si>
  <si>
    <t xml:space="preserve">• Afríka — engin Instagram né Facebook fundust. Senda á KSÍ (ksi@ksi.is, +354 510 2900).</t>
  </si>
  <si>
    <t xml:space="preserve">Lið sem birtast bæði í karla- og kvennaflokkum:</t>
  </si>
  <si>
    <t xml:space="preserve">• Álftanes (4. deild karla + 2. deild kvk)</t>
  </si>
  <si>
    <t xml:space="preserve">• KFR (4. deild karla + 2. deild kvk)</t>
  </si>
  <si>
    <t xml:space="preserve">• Smári (5. deild karla A + 2. deild kvk)</t>
  </si>
  <si>
    <t xml:space="preserve">Eitt skilaboð til félagsins nær báðum liðum.</t>
  </si>
  <si>
    <t xml:space="preserve">Heimild: ksi.is, opnað 17. maí 2026.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</si>
</sst>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2563EB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4E5"/>
        <bgColor rgb="FFFCE7F3"/>
      </patternFill>
    </fill>
    <fill>
      <patternFill patternType="solid">
        <fgColor rgb="FFE8F0FE"/>
        <bgColor rgb="FFFCE7F3"/>
      </patternFill>
    </fill>
    <fill>
      <patternFill patternType="solid">
        <fgColor rgb="FFFCE7F3"/>
        <bgColor rgb="FFFFF4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5"/>
      <rgbColor rgb="FFE8F0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7F3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facebook.com/alftanes/" TargetMode="External"/><Relationship Id="rId2" Type="http://schemas.openxmlformats.org/officeDocument/2006/relationships/hyperlink" Target="https://www.instagram.com/arborgfc/" TargetMode="External"/><Relationship Id="rId3" Type="http://schemas.openxmlformats.org/officeDocument/2006/relationships/hyperlink" Target="https://www.facebook.com/arborgfc/" TargetMode="External"/><Relationship Id="rId4" Type="http://schemas.openxmlformats.org/officeDocument/2006/relationships/hyperlink" Target="https://www.facebook.com/pages/category/Sports-team/&#218;lfarnir-Fc-1271970936252955/" TargetMode="External"/><Relationship Id="rId5" Type="http://schemas.openxmlformats.org/officeDocument/2006/relationships/hyperlink" Target="https://www.facebook.com/EllidiFC/" TargetMode="External"/><Relationship Id="rId6" Type="http://schemas.openxmlformats.org/officeDocument/2006/relationships/hyperlink" Target="https://www.instagram.com/vaengir_jupiters/" TargetMode="External"/><Relationship Id="rId7" Type="http://schemas.openxmlformats.org/officeDocument/2006/relationships/hyperlink" Target="https://www.facebook.com/vaengirjupiters/" TargetMode="External"/><Relationship Id="rId8" Type="http://schemas.openxmlformats.org/officeDocument/2006/relationships/hyperlink" Target="https://www.facebook.com/hamar.knattspyrna/" TargetMode="External"/><Relationship Id="rId9" Type="http://schemas.openxmlformats.org/officeDocument/2006/relationships/hyperlink" Target="https://www.instagram.com/hafnir_kf/" TargetMode="External"/><Relationship Id="rId10" Type="http://schemas.openxmlformats.org/officeDocument/2006/relationships/hyperlink" Target="https://www.facebook.com/KFHafnir/" TargetMode="External"/><Relationship Id="rId11" Type="http://schemas.openxmlformats.org/officeDocument/2006/relationships/hyperlink" Target="https://www.facebook.com/KFAlafoss/" TargetMode="External"/><Relationship Id="rId12" Type="http://schemas.openxmlformats.org/officeDocument/2006/relationships/hyperlink" Target="https://www.facebook.com/KnattspyrnufelagRangaeinga/" TargetMode="External"/><Relationship Id="rId13" Type="http://schemas.openxmlformats.org/officeDocument/2006/relationships/hyperlink" Target="https://www.instagram.com/ihfotbolti/" TargetMode="External"/><Relationship Id="rId14" Type="http://schemas.openxmlformats.org/officeDocument/2006/relationships/hyperlink" Target="https://www.facebook.com/p/&#205;H-100063566743991/" TargetMode="External"/><Relationship Id="rId15" Type="http://schemas.openxmlformats.org/officeDocument/2006/relationships/hyperlink" Target="https://www.instagram.com/throttur/" TargetMode="External"/><Relationship Id="rId16" Type="http://schemas.openxmlformats.org/officeDocument/2006/relationships/hyperlink" Target="https://www.facebook.com/ThrotturKnattspyrna/" TargetMode="External"/><Relationship Id="rId17" Type="http://schemas.openxmlformats.org/officeDocument/2006/relationships/hyperlink" Target="https://www.instagram.com/kf_smari/" TargetMode="External"/><Relationship Id="rId18" Type="http://schemas.openxmlformats.org/officeDocument/2006/relationships/hyperlink" Target="https://www.facebook.com/61564912055987" TargetMode="External"/><Relationship Id="rId19" Type="http://schemas.openxmlformats.org/officeDocument/2006/relationships/hyperlink" Target="https://www.facebook.com/fotboltiskallagrimur/" TargetMode="External"/><Relationship Id="rId20" Type="http://schemas.openxmlformats.org/officeDocument/2006/relationships/hyperlink" Target="https://www.facebook.com/uppsveitir/" TargetMode="External"/><Relationship Id="rId21" Type="http://schemas.openxmlformats.org/officeDocument/2006/relationships/hyperlink" Target="https://www.instagram.com/thorlakurfc/" TargetMode="External"/><Relationship Id="rId22" Type="http://schemas.openxmlformats.org/officeDocument/2006/relationships/hyperlink" Target="https://www.facebook.com/thorlakurfc/" TargetMode="External"/><Relationship Id="rId23" Type="http://schemas.openxmlformats.org/officeDocument/2006/relationships/hyperlink" Target="https://www.facebook.com/KFSVestmannaeyjar/" TargetMode="External"/><Relationship Id="rId24" Type="http://schemas.openxmlformats.org/officeDocument/2006/relationships/hyperlink" Target="https://www.facebook.com/hordur.isafjordur/" TargetMode="External"/><Relationship Id="rId25" Type="http://schemas.openxmlformats.org/officeDocument/2006/relationships/hyperlink" Target="https://www.facebook.com/hamrarnir/" TargetMode="External"/><Relationship Id="rId26" Type="http://schemas.openxmlformats.org/officeDocument/2006/relationships/hyperlink" Target="https://www.instagram.com/kmreykjavik/" TargetMode="External"/><Relationship Id="rId27" Type="http://schemas.openxmlformats.org/officeDocument/2006/relationships/hyperlink" Target="https://www.facebook.com/kmreykjavik/" TargetMode="External"/><Relationship Id="rId28" Type="http://schemas.openxmlformats.org/officeDocument/2006/relationships/hyperlink" Target="https://www.instagram.com/kria.fotbolti/" TargetMode="External"/><Relationship Id="rId29" Type="http://schemas.openxmlformats.org/officeDocument/2006/relationships/hyperlink" Target="https://www.facebook.com/kria.is/" TargetMode="External"/><Relationship Id="rId30" Type="http://schemas.openxmlformats.org/officeDocument/2006/relationships/hyperlink" Target="https://www.facebook.com/p/Knattspyrnuf&#233;lagi&#240;-RB-100070742983172/" TargetMode="External"/><Relationship Id="rId31" Type="http://schemas.openxmlformats.org/officeDocument/2006/relationships/hyperlink" Target="https://www.instagram.com/mflstokkseyri/" TargetMode="External"/><Relationship Id="rId32" Type="http://schemas.openxmlformats.org/officeDocument/2006/relationships/hyperlink" Target="https://www.facebook.com/MeistaraflokkurStokkseyrar/" TargetMode="External"/><Relationship Id="rId33" Type="http://schemas.openxmlformats.org/officeDocument/2006/relationships/hyperlink" Target="https://www.instagram.com/breidholts/" TargetMode="External"/><Relationship Id="rId34" Type="http://schemas.openxmlformats.org/officeDocument/2006/relationships/hyperlink" Target="https://www.facebook.com/KBLeiknir/" TargetMode="External"/><Relationship Id="rId35" Type="http://schemas.openxmlformats.org/officeDocument/2006/relationships/hyperlink" Target="https://www.instagram.com/bf108rvk/" TargetMode="External"/><Relationship Id="rId36" Type="http://schemas.openxmlformats.org/officeDocument/2006/relationships/hyperlink" Target="https://www.instagram.com/irfotbolti/" TargetMode="External"/><Relationship Id="rId37" Type="http://schemas.openxmlformats.org/officeDocument/2006/relationships/hyperlink" Target="https://www.facebook.com/IRFotbolti/" TargetMode="External"/><Relationship Id="rId38" Type="http://schemas.openxmlformats.org/officeDocument/2006/relationships/hyperlink" Target="https://www.facebook.com/umfeinherji/" TargetMode="External"/><Relationship Id="rId39" Type="http://schemas.openxmlformats.org/officeDocument/2006/relationships/hyperlink" Target="https://www.instagram.com/fjolnir_fc/" TargetMode="External"/><Relationship Id="rId40" Type="http://schemas.openxmlformats.org/officeDocument/2006/relationships/hyperlink" Target="https://www.facebook.com/fjolnirfc" TargetMode="External"/><Relationship Id="rId41" Type="http://schemas.openxmlformats.org/officeDocument/2006/relationships/hyperlink" Target="https://www.instagram.com/aftureldingknattspyrna/" TargetMode="External"/><Relationship Id="rId42" Type="http://schemas.openxmlformats.org/officeDocument/2006/relationships/hyperlink" Target="https://www.facebook.com/aftureldingknattspyrna/" TargetMode="External"/><Relationship Id="rId43" Type="http://schemas.openxmlformats.org/officeDocument/2006/relationships/hyperlink" Target="https://www.instagram.com/vestriknattspyrnakvk/" TargetMode="External"/><Relationship Id="rId44" Type="http://schemas.openxmlformats.org/officeDocument/2006/relationships/hyperlink" Target="https://www.facebook.com/Vestri.Knattspyrna/" TargetMode="External"/><Relationship Id="rId45" Type="http://schemas.openxmlformats.org/officeDocument/2006/relationships/hyperlink" Target="https://www.instagram.com/fylkirknd/" TargetMode="External"/><Relationship Id="rId46" Type="http://schemas.openxmlformats.org/officeDocument/2006/relationships/hyperlink" Target="https://www.facebook.com/fylkir/" TargetMode="External"/><Relationship Id="rId47" Type="http://schemas.openxmlformats.org/officeDocument/2006/relationships/hyperlink" Target="https://www.instagram.com/augnablik.kk/" TargetMode="External"/><Relationship Id="rId48" Type="http://schemas.openxmlformats.org/officeDocument/2006/relationships/hyperlink" Target="https://www.facebook.com/augnablikar/" TargetMode="External"/><Relationship Id="rId49" Type="http://schemas.openxmlformats.org/officeDocument/2006/relationships/hyperlink" Target="https://www.instagram.com/throtturmflkvk/" TargetMode="External"/><Relationship Id="rId50" Type="http://schemas.openxmlformats.org/officeDocument/2006/relationships/hyperlink" Target="https://www.facebook.com/ThrotturKnattspyrna/" TargetMode="External"/><Relationship Id="rId51" Type="http://schemas.openxmlformats.org/officeDocument/2006/relationships/hyperlink" Target="https://www.instagram.com/dalvikreynir/" TargetMode="External"/><Relationship Id="rId52" Type="http://schemas.openxmlformats.org/officeDocument/2006/relationships/hyperlink" Target="https://www.facebook.com/dalviksport/" TargetMode="External"/><Relationship Id="rId53" Type="http://schemas.openxmlformats.org/officeDocument/2006/relationships/hyperlink" Target="https://www.instagram.com/irfotbolti/" TargetMode="External"/><Relationship Id="rId54" Type="http://schemas.openxmlformats.org/officeDocument/2006/relationships/hyperlink" Target="https://www.facebook.com/IRFotbolti/" TargetMode="External"/><Relationship Id="rId55" Type="http://schemas.openxmlformats.org/officeDocument/2006/relationships/hyperlink" Target="https://www.facebook.com/KnattspyrnufelagRangaeinga/" TargetMode="External"/><Relationship Id="rId56" Type="http://schemas.openxmlformats.org/officeDocument/2006/relationships/hyperlink" Target="https://www.facebook.com/alftanes/" TargetMode="External"/><Relationship Id="rId57" Type="http://schemas.openxmlformats.org/officeDocument/2006/relationships/hyperlink" Target="https://www.instagram.com/kf_smari/" TargetMode="External"/><Relationship Id="rId58" Type="http://schemas.openxmlformats.org/officeDocument/2006/relationships/hyperlink" Target="https://www.facebook.com/6156491205598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5" min="4" style="0" width="26"/>
    <col collapsed="false" customWidth="true" hidden="false" outlineLevel="0" max="6" min="6" style="0" width="28"/>
    <col collapsed="false" customWidth="true" hidden="false" outlineLevel="0" max="7" min="7" style="0" width="32"/>
    <col collapsed="false" customWidth="true" hidden="false" outlineLevel="0" max="9" min="8" style="0" width="13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4" min="13" style="0" width="14"/>
    <col collapsed="false" customWidth="true" hidden="false" outlineLevel="0" max="15" min="15" style="0" width="38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/>
      <c r="C2" s="2" t="s">
        <v>16</v>
      </c>
      <c r="D2" s="2" t="s">
        <v>16</v>
      </c>
      <c r="E2" s="2"/>
      <c r="F2" s="3" t="s">
        <v>17</v>
      </c>
      <c r="G2" s="2" t="s">
        <v>18</v>
      </c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2" t="s">
        <v>15</v>
      </c>
      <c r="B3" s="2"/>
      <c r="C3" s="2" t="s">
        <v>19</v>
      </c>
      <c r="D3" s="2" t="s">
        <v>20</v>
      </c>
      <c r="E3" s="3" t="s">
        <v>21</v>
      </c>
      <c r="F3" s="3" t="s">
        <v>22</v>
      </c>
      <c r="G3" s="2" t="s">
        <v>23</v>
      </c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2" t="s">
        <v>15</v>
      </c>
      <c r="B4" s="2"/>
      <c r="C4" s="2" t="s">
        <v>24</v>
      </c>
      <c r="D4" s="2" t="s">
        <v>25</v>
      </c>
      <c r="E4" s="2"/>
      <c r="F4" s="3" t="s">
        <v>26</v>
      </c>
      <c r="G4" s="2"/>
      <c r="H4" s="2"/>
      <c r="I4" s="2"/>
      <c r="J4" s="2"/>
      <c r="K4" s="2"/>
      <c r="L4" s="2"/>
      <c r="M4" s="2"/>
      <c r="N4" s="2"/>
      <c r="O4" s="2"/>
    </row>
    <row r="5" customFormat="false" ht="15" hidden="false" customHeight="false" outlineLevel="0" collapsed="false">
      <c r="A5" s="2" t="s">
        <v>15</v>
      </c>
      <c r="B5" s="2"/>
      <c r="C5" s="2" t="s">
        <v>27</v>
      </c>
      <c r="D5" s="2" t="s">
        <v>28</v>
      </c>
      <c r="E5" s="2"/>
      <c r="F5" s="3" t="s">
        <v>29</v>
      </c>
      <c r="G5" s="2"/>
      <c r="H5" s="2"/>
      <c r="I5" s="2"/>
      <c r="J5" s="2"/>
      <c r="K5" s="2"/>
      <c r="L5" s="2"/>
      <c r="M5" s="2"/>
      <c r="N5" s="2"/>
      <c r="O5" s="2"/>
    </row>
    <row r="6" customFormat="false" ht="15" hidden="false" customHeight="false" outlineLevel="0" collapsed="false">
      <c r="A6" s="2" t="s">
        <v>15</v>
      </c>
      <c r="B6" s="2"/>
      <c r="C6" s="2" t="s">
        <v>30</v>
      </c>
      <c r="D6" s="2" t="s">
        <v>31</v>
      </c>
      <c r="E6" s="3" t="s">
        <v>32</v>
      </c>
      <c r="F6" s="3" t="s">
        <v>33</v>
      </c>
      <c r="G6" s="2" t="s">
        <v>34</v>
      </c>
      <c r="H6" s="2"/>
      <c r="I6" s="2"/>
      <c r="J6" s="2"/>
      <c r="K6" s="2"/>
      <c r="L6" s="2"/>
      <c r="M6" s="2"/>
      <c r="N6" s="2"/>
      <c r="O6" s="2"/>
    </row>
    <row r="7" customFormat="false" ht="15" hidden="false" customHeight="false" outlineLevel="0" collapsed="false">
      <c r="A7" s="2" t="s">
        <v>15</v>
      </c>
      <c r="B7" s="2"/>
      <c r="C7" s="2" t="s">
        <v>35</v>
      </c>
      <c r="D7" s="2" t="s">
        <v>36</v>
      </c>
      <c r="E7" s="2"/>
      <c r="F7" s="3" t="s">
        <v>37</v>
      </c>
      <c r="G7" s="2"/>
      <c r="H7" s="2"/>
      <c r="I7" s="2"/>
      <c r="J7" s="2"/>
      <c r="K7" s="2"/>
      <c r="L7" s="2"/>
      <c r="M7" s="2"/>
      <c r="N7" s="2"/>
      <c r="O7" s="2"/>
    </row>
    <row r="8" customFormat="false" ht="15" hidden="false" customHeight="false" outlineLevel="0" collapsed="false">
      <c r="A8" s="2" t="s">
        <v>15</v>
      </c>
      <c r="B8" s="2"/>
      <c r="C8" s="2" t="s">
        <v>38</v>
      </c>
      <c r="D8" s="2" t="s">
        <v>39</v>
      </c>
      <c r="E8" s="3" t="s">
        <v>40</v>
      </c>
      <c r="F8" s="3" t="s">
        <v>41</v>
      </c>
      <c r="G8" s="2"/>
      <c r="H8" s="2"/>
      <c r="I8" s="2"/>
      <c r="J8" s="2"/>
      <c r="K8" s="2"/>
      <c r="L8" s="2"/>
      <c r="M8" s="2"/>
      <c r="N8" s="2"/>
      <c r="O8" s="2"/>
    </row>
    <row r="9" customFormat="false" ht="15" hidden="false" customHeight="false" outlineLevel="0" collapsed="false">
      <c r="A9" s="2" t="s">
        <v>15</v>
      </c>
      <c r="B9" s="2"/>
      <c r="C9" s="2" t="s">
        <v>42</v>
      </c>
      <c r="D9" s="2" t="s">
        <v>43</v>
      </c>
      <c r="E9" s="2"/>
      <c r="F9" s="3" t="s">
        <v>44</v>
      </c>
      <c r="G9" s="2"/>
      <c r="H9" s="2"/>
      <c r="I9" s="2"/>
      <c r="J9" s="2"/>
      <c r="K9" s="2"/>
      <c r="L9" s="2"/>
      <c r="M9" s="2"/>
      <c r="N9" s="2"/>
      <c r="O9" s="2"/>
    </row>
    <row r="10" customFormat="false" ht="15" hidden="false" customHeight="false" outlineLevel="0" collapsed="false">
      <c r="A10" s="2" t="s">
        <v>15</v>
      </c>
      <c r="B10" s="2"/>
      <c r="C10" s="2" t="s">
        <v>45</v>
      </c>
      <c r="D10" s="2" t="s">
        <v>46</v>
      </c>
      <c r="E10" s="2"/>
      <c r="F10" s="3" t="s">
        <v>47</v>
      </c>
      <c r="G10" s="2" t="s">
        <v>18</v>
      </c>
      <c r="H10" s="2"/>
      <c r="I10" s="2"/>
      <c r="J10" s="2"/>
      <c r="K10" s="2"/>
      <c r="L10" s="2"/>
      <c r="M10" s="2"/>
      <c r="N10" s="2"/>
      <c r="O10" s="2"/>
    </row>
    <row r="11" customFormat="false" ht="23.85" hidden="false" customHeight="false" outlineLevel="0" collapsed="false">
      <c r="A11" s="2" t="s">
        <v>15</v>
      </c>
      <c r="B11" s="2"/>
      <c r="C11" s="2" t="s">
        <v>48</v>
      </c>
      <c r="D11" s="2" t="s">
        <v>49</v>
      </c>
      <c r="E11" s="3" t="s">
        <v>50</v>
      </c>
      <c r="F11" s="3" t="s">
        <v>51</v>
      </c>
      <c r="G11" s="2" t="s">
        <v>52</v>
      </c>
      <c r="H11" s="2"/>
      <c r="I11" s="2"/>
      <c r="J11" s="2"/>
      <c r="K11" s="2"/>
      <c r="L11" s="2"/>
      <c r="M11" s="2"/>
      <c r="N11" s="2"/>
      <c r="O11" s="2"/>
    </row>
    <row r="12" customFormat="false" ht="15" hidden="false" customHeight="false" outlineLevel="0" collapsed="false">
      <c r="A12" s="4" t="s">
        <v>53</v>
      </c>
      <c r="B12" s="4" t="s">
        <v>54</v>
      </c>
      <c r="C12" s="4" t="s">
        <v>55</v>
      </c>
      <c r="D12" s="4" t="s">
        <v>56</v>
      </c>
      <c r="E12" s="5" t="s">
        <v>57</v>
      </c>
      <c r="F12" s="5" t="s">
        <v>58</v>
      </c>
      <c r="G12" s="4" t="s">
        <v>59</v>
      </c>
      <c r="H12" s="4"/>
      <c r="I12" s="4"/>
      <c r="J12" s="4"/>
      <c r="K12" s="4"/>
      <c r="L12" s="4"/>
      <c r="M12" s="4"/>
      <c r="N12" s="4"/>
      <c r="O12" s="4"/>
    </row>
    <row r="13" customFormat="false" ht="15" hidden="false" customHeight="false" outlineLevel="0" collapsed="false">
      <c r="A13" s="4" t="s">
        <v>53</v>
      </c>
      <c r="B13" s="4" t="s">
        <v>54</v>
      </c>
      <c r="C13" s="4" t="s">
        <v>60</v>
      </c>
      <c r="D13" s="4" t="s">
        <v>61</v>
      </c>
      <c r="E13" s="5" t="s">
        <v>62</v>
      </c>
      <c r="F13" s="5" t="s">
        <v>63</v>
      </c>
      <c r="G13" s="4" t="s">
        <v>18</v>
      </c>
      <c r="H13" s="4"/>
      <c r="I13" s="4"/>
      <c r="J13" s="4"/>
      <c r="K13" s="4"/>
      <c r="L13" s="4"/>
      <c r="M13" s="4"/>
      <c r="N13" s="4"/>
      <c r="O13" s="4"/>
    </row>
    <row r="14" customFormat="false" ht="15" hidden="false" customHeight="false" outlineLevel="0" collapsed="false">
      <c r="A14" s="4" t="s">
        <v>53</v>
      </c>
      <c r="B14" s="4" t="s">
        <v>54</v>
      </c>
      <c r="C14" s="4" t="s">
        <v>64</v>
      </c>
      <c r="D14" s="4" t="s">
        <v>65</v>
      </c>
      <c r="E14" s="4"/>
      <c r="F14" s="5" t="s">
        <v>66</v>
      </c>
      <c r="G14" s="4"/>
      <c r="H14" s="4"/>
      <c r="I14" s="4"/>
      <c r="J14" s="4"/>
      <c r="K14" s="4"/>
      <c r="L14" s="4"/>
      <c r="M14" s="4"/>
      <c r="N14" s="4"/>
      <c r="O14" s="4"/>
    </row>
    <row r="15" customFormat="false" ht="15" hidden="false" customHeight="false" outlineLevel="0" collapsed="false">
      <c r="A15" s="4" t="s">
        <v>53</v>
      </c>
      <c r="B15" s="4" t="s">
        <v>54</v>
      </c>
      <c r="C15" s="4" t="s">
        <v>67</v>
      </c>
      <c r="D15" s="4" t="s">
        <v>68</v>
      </c>
      <c r="E15" s="4"/>
      <c r="F15" s="5" t="s">
        <v>69</v>
      </c>
      <c r="G15" s="4"/>
      <c r="H15" s="4"/>
      <c r="I15" s="4"/>
      <c r="J15" s="4"/>
      <c r="K15" s="4"/>
      <c r="L15" s="4"/>
      <c r="M15" s="4"/>
      <c r="N15" s="4"/>
      <c r="O15" s="4"/>
    </row>
    <row r="16" customFormat="false" ht="15" hidden="false" customHeight="false" outlineLevel="0" collapsed="false">
      <c r="A16" s="4" t="s">
        <v>53</v>
      </c>
      <c r="B16" s="4" t="s">
        <v>54</v>
      </c>
      <c r="C16" s="4" t="s">
        <v>70</v>
      </c>
      <c r="D16" s="4" t="s">
        <v>71</v>
      </c>
      <c r="E16" s="5" t="s">
        <v>72</v>
      </c>
      <c r="F16" s="5" t="s">
        <v>73</v>
      </c>
      <c r="G16" s="4" t="s">
        <v>74</v>
      </c>
      <c r="H16" s="4"/>
      <c r="I16" s="4"/>
      <c r="J16" s="4"/>
      <c r="K16" s="4"/>
      <c r="L16" s="4"/>
      <c r="M16" s="4"/>
      <c r="N16" s="4"/>
      <c r="O16" s="4"/>
    </row>
    <row r="17" customFormat="false" ht="15" hidden="false" customHeight="false" outlineLevel="0" collapsed="false">
      <c r="A17" s="4" t="s">
        <v>53</v>
      </c>
      <c r="B17" s="4" t="s">
        <v>54</v>
      </c>
      <c r="C17" s="4" t="s">
        <v>75</v>
      </c>
      <c r="D17" s="4" t="s">
        <v>76</v>
      </c>
      <c r="E17" s="4"/>
      <c r="F17" s="5" t="s">
        <v>77</v>
      </c>
      <c r="G17" s="4"/>
      <c r="H17" s="4"/>
      <c r="I17" s="4"/>
      <c r="J17" s="4"/>
      <c r="K17" s="4"/>
      <c r="L17" s="4"/>
      <c r="M17" s="4"/>
      <c r="N17" s="4"/>
      <c r="O17" s="4"/>
    </row>
    <row r="18" customFormat="false" ht="15" hidden="false" customHeight="false" outlineLevel="0" collapsed="false">
      <c r="A18" s="4" t="s">
        <v>53</v>
      </c>
      <c r="B18" s="4" t="s">
        <v>54</v>
      </c>
      <c r="C18" s="4" t="s">
        <v>78</v>
      </c>
      <c r="D18" s="4" t="s">
        <v>79</v>
      </c>
      <c r="E18" s="4"/>
      <c r="F18" s="5" t="s">
        <v>80</v>
      </c>
      <c r="G18" s="4"/>
      <c r="H18" s="4"/>
      <c r="I18" s="4"/>
      <c r="J18" s="4"/>
      <c r="K18" s="4"/>
      <c r="L18" s="4"/>
      <c r="M18" s="4"/>
      <c r="N18" s="4"/>
      <c r="O18" s="4"/>
    </row>
    <row r="19" customFormat="false" ht="15" hidden="false" customHeight="false" outlineLevel="0" collapsed="false">
      <c r="A19" s="4" t="s">
        <v>53</v>
      </c>
      <c r="B19" s="4" t="s">
        <v>54</v>
      </c>
      <c r="C19" s="4" t="s">
        <v>81</v>
      </c>
      <c r="D19" s="4" t="s">
        <v>82</v>
      </c>
      <c r="E19" s="4"/>
      <c r="F19" s="4"/>
      <c r="G19" s="4" t="s">
        <v>83</v>
      </c>
      <c r="H19" s="4"/>
      <c r="I19" s="4"/>
      <c r="J19" s="4"/>
      <c r="K19" s="4"/>
      <c r="L19" s="4"/>
      <c r="M19" s="4"/>
      <c r="N19" s="4"/>
      <c r="O19" s="4"/>
    </row>
    <row r="20" customFormat="false" ht="15" hidden="false" customHeight="false" outlineLevel="0" collapsed="false">
      <c r="A20" s="4" t="s">
        <v>53</v>
      </c>
      <c r="B20" s="4" t="s">
        <v>84</v>
      </c>
      <c r="C20" s="4" t="s">
        <v>85</v>
      </c>
      <c r="D20" s="4" t="s">
        <v>86</v>
      </c>
      <c r="E20" s="4"/>
      <c r="F20" s="5" t="s">
        <v>87</v>
      </c>
      <c r="G20" s="4"/>
      <c r="H20" s="4"/>
      <c r="I20" s="4"/>
      <c r="J20" s="4"/>
      <c r="K20" s="4"/>
      <c r="L20" s="4"/>
      <c r="M20" s="4"/>
      <c r="N20" s="4"/>
      <c r="O20" s="4"/>
    </row>
    <row r="21" customFormat="false" ht="15" hidden="false" customHeight="false" outlineLevel="0" collapsed="false">
      <c r="A21" s="4" t="s">
        <v>53</v>
      </c>
      <c r="B21" s="4" t="s">
        <v>84</v>
      </c>
      <c r="C21" s="4" t="s">
        <v>88</v>
      </c>
      <c r="D21" s="4" t="s">
        <v>61</v>
      </c>
      <c r="E21" s="5" t="s">
        <v>89</v>
      </c>
      <c r="F21" s="5" t="s">
        <v>90</v>
      </c>
      <c r="G21" s="4"/>
      <c r="H21" s="4"/>
      <c r="I21" s="4"/>
      <c r="J21" s="4"/>
      <c r="K21" s="4"/>
      <c r="L21" s="4"/>
      <c r="M21" s="4"/>
      <c r="N21" s="4"/>
      <c r="O21" s="4"/>
    </row>
    <row r="22" customFormat="false" ht="15" hidden="false" customHeight="false" outlineLevel="0" collapsed="false">
      <c r="A22" s="4" t="s">
        <v>53</v>
      </c>
      <c r="B22" s="4" t="s">
        <v>84</v>
      </c>
      <c r="C22" s="4" t="s">
        <v>91</v>
      </c>
      <c r="D22" s="4" t="s">
        <v>92</v>
      </c>
      <c r="E22" s="5" t="s">
        <v>93</v>
      </c>
      <c r="F22" s="5" t="s">
        <v>94</v>
      </c>
      <c r="G22" s="4"/>
      <c r="H22" s="4"/>
      <c r="I22" s="4"/>
      <c r="J22" s="4"/>
      <c r="K22" s="4"/>
      <c r="L22" s="4"/>
      <c r="M22" s="4"/>
      <c r="N22" s="4"/>
      <c r="O22" s="4"/>
    </row>
    <row r="23" customFormat="false" ht="15" hidden="false" customHeight="false" outlineLevel="0" collapsed="false">
      <c r="A23" s="4" t="s">
        <v>53</v>
      </c>
      <c r="B23" s="4" t="s">
        <v>84</v>
      </c>
      <c r="C23" s="4" t="s">
        <v>95</v>
      </c>
      <c r="D23" s="4" t="s">
        <v>96</v>
      </c>
      <c r="E23" s="4"/>
      <c r="F23" s="5" t="s">
        <v>97</v>
      </c>
      <c r="G23" s="4"/>
      <c r="H23" s="4"/>
      <c r="I23" s="4"/>
      <c r="J23" s="4"/>
      <c r="K23" s="4"/>
      <c r="L23" s="4"/>
      <c r="M23" s="4"/>
      <c r="N23" s="4"/>
      <c r="O23" s="4"/>
    </row>
    <row r="24" customFormat="false" ht="15" hidden="false" customHeight="false" outlineLevel="0" collapsed="false">
      <c r="A24" s="4" t="s">
        <v>53</v>
      </c>
      <c r="B24" s="4" t="s">
        <v>84</v>
      </c>
      <c r="C24" s="4" t="s">
        <v>98</v>
      </c>
      <c r="D24" s="4" t="s">
        <v>98</v>
      </c>
      <c r="E24" s="5" t="s">
        <v>99</v>
      </c>
      <c r="F24" s="5" t="s">
        <v>100</v>
      </c>
      <c r="G24" s="4"/>
      <c r="H24" s="4"/>
      <c r="I24" s="4"/>
      <c r="J24" s="4"/>
      <c r="K24" s="4"/>
      <c r="L24" s="4"/>
      <c r="M24" s="4"/>
      <c r="N24" s="4"/>
      <c r="O24" s="4"/>
    </row>
    <row r="25" customFormat="false" ht="23.85" hidden="false" customHeight="false" outlineLevel="0" collapsed="false">
      <c r="A25" s="4" t="s">
        <v>53</v>
      </c>
      <c r="B25" s="4" t="s">
        <v>84</v>
      </c>
      <c r="C25" s="4" t="s">
        <v>101</v>
      </c>
      <c r="D25" s="4" t="s">
        <v>102</v>
      </c>
      <c r="E25" s="5" t="s">
        <v>103</v>
      </c>
      <c r="F25" s="5" t="s">
        <v>104</v>
      </c>
      <c r="G25" s="4" t="s">
        <v>105</v>
      </c>
      <c r="H25" s="4"/>
      <c r="I25" s="4"/>
      <c r="J25" s="4"/>
      <c r="K25" s="4"/>
      <c r="L25" s="4"/>
      <c r="M25" s="4"/>
      <c r="N25" s="4"/>
      <c r="O25" s="4"/>
    </row>
    <row r="26" customFormat="false" ht="15" hidden="false" customHeight="false" outlineLevel="0" collapsed="false">
      <c r="A26" s="4" t="s">
        <v>53</v>
      </c>
      <c r="B26" s="4" t="s">
        <v>84</v>
      </c>
      <c r="C26" s="4" t="s">
        <v>106</v>
      </c>
      <c r="D26" s="4" t="s">
        <v>107</v>
      </c>
      <c r="E26" s="5" t="s">
        <v>108</v>
      </c>
      <c r="F26" s="4"/>
      <c r="G26" s="4" t="s">
        <v>109</v>
      </c>
      <c r="H26" s="4"/>
      <c r="I26" s="4"/>
      <c r="J26" s="4"/>
      <c r="K26" s="4"/>
      <c r="L26" s="4"/>
      <c r="M26" s="4"/>
      <c r="N26" s="4"/>
      <c r="O26" s="4"/>
    </row>
    <row r="27" customFormat="false" ht="15" hidden="false" customHeight="false" outlineLevel="0" collapsed="false">
      <c r="A27" s="4" t="s">
        <v>53</v>
      </c>
      <c r="B27" s="4" t="s">
        <v>84</v>
      </c>
      <c r="C27" s="4" t="s">
        <v>110</v>
      </c>
      <c r="D27" s="4" t="s">
        <v>111</v>
      </c>
      <c r="E27" s="5" t="s">
        <v>112</v>
      </c>
      <c r="F27" s="5" t="s">
        <v>113</v>
      </c>
      <c r="G27" s="4" t="s">
        <v>114</v>
      </c>
      <c r="H27" s="4"/>
      <c r="I27" s="4"/>
      <c r="J27" s="4"/>
      <c r="K27" s="4"/>
      <c r="L27" s="4"/>
      <c r="M27" s="4"/>
      <c r="N27" s="4"/>
      <c r="O27" s="4"/>
    </row>
    <row r="28" customFormat="false" ht="15" hidden="false" customHeight="false" outlineLevel="0" collapsed="false">
      <c r="A28" s="6" t="s">
        <v>115</v>
      </c>
      <c r="B28" s="6"/>
      <c r="C28" s="6" t="s">
        <v>116</v>
      </c>
      <c r="D28" s="6" t="s">
        <v>117</v>
      </c>
      <c r="E28" s="6"/>
      <c r="F28" s="7" t="s">
        <v>118</v>
      </c>
      <c r="G28" s="6"/>
      <c r="H28" s="6"/>
      <c r="I28" s="6"/>
      <c r="J28" s="6"/>
      <c r="K28" s="6"/>
      <c r="L28" s="6"/>
      <c r="M28" s="6"/>
      <c r="N28" s="6"/>
      <c r="O28" s="6"/>
    </row>
    <row r="29" customFormat="false" ht="15" hidden="false" customHeight="false" outlineLevel="0" collapsed="false">
      <c r="A29" s="6" t="s">
        <v>115</v>
      </c>
      <c r="B29" s="6"/>
      <c r="C29" s="6" t="s">
        <v>119</v>
      </c>
      <c r="D29" s="6" t="s">
        <v>31</v>
      </c>
      <c r="E29" s="7" t="s">
        <v>120</v>
      </c>
      <c r="F29" s="7" t="s">
        <v>121</v>
      </c>
      <c r="G29" s="6"/>
      <c r="H29" s="6"/>
      <c r="I29" s="6"/>
      <c r="J29" s="6"/>
      <c r="K29" s="6"/>
      <c r="L29" s="6"/>
      <c r="M29" s="6"/>
      <c r="N29" s="6"/>
      <c r="O29" s="6"/>
    </row>
    <row r="30" customFormat="false" ht="15" hidden="false" customHeight="false" outlineLevel="0" collapsed="false">
      <c r="A30" s="6" t="s">
        <v>115</v>
      </c>
      <c r="B30" s="6"/>
      <c r="C30" s="6" t="s">
        <v>122</v>
      </c>
      <c r="D30" s="6" t="s">
        <v>43</v>
      </c>
      <c r="E30" s="7" t="s">
        <v>123</v>
      </c>
      <c r="F30" s="7" t="s">
        <v>124</v>
      </c>
      <c r="G30" s="6"/>
      <c r="H30" s="6"/>
      <c r="I30" s="6"/>
      <c r="J30" s="6"/>
      <c r="K30" s="6"/>
      <c r="L30" s="6"/>
      <c r="M30" s="6"/>
      <c r="N30" s="6"/>
      <c r="O30" s="6"/>
    </row>
    <row r="31" customFormat="false" ht="15" hidden="false" customHeight="false" outlineLevel="0" collapsed="false">
      <c r="A31" s="6" t="s">
        <v>115</v>
      </c>
      <c r="B31" s="6"/>
      <c r="C31" s="6" t="s">
        <v>125</v>
      </c>
      <c r="D31" s="6" t="s">
        <v>79</v>
      </c>
      <c r="E31" s="7" t="s">
        <v>126</v>
      </c>
      <c r="F31" s="7" t="s">
        <v>127</v>
      </c>
      <c r="G31" s="6"/>
      <c r="H31" s="6"/>
      <c r="I31" s="6"/>
      <c r="J31" s="6"/>
      <c r="K31" s="6"/>
      <c r="L31" s="6"/>
      <c r="M31" s="6"/>
      <c r="N31" s="6"/>
      <c r="O31" s="6"/>
    </row>
    <row r="32" customFormat="false" ht="15" hidden="false" customHeight="false" outlineLevel="0" collapsed="false">
      <c r="A32" s="6" t="s">
        <v>115</v>
      </c>
      <c r="B32" s="6"/>
      <c r="C32" s="6" t="s">
        <v>128</v>
      </c>
      <c r="D32" s="6" t="s">
        <v>28</v>
      </c>
      <c r="E32" s="7" t="s">
        <v>129</v>
      </c>
      <c r="F32" s="7" t="s">
        <v>130</v>
      </c>
      <c r="G32" s="6"/>
      <c r="H32" s="6"/>
      <c r="I32" s="6"/>
      <c r="J32" s="6"/>
      <c r="K32" s="6"/>
      <c r="L32" s="6"/>
      <c r="M32" s="6"/>
      <c r="N32" s="6"/>
      <c r="O32" s="6"/>
    </row>
    <row r="33" customFormat="false" ht="15" hidden="false" customHeight="false" outlineLevel="0" collapsed="false">
      <c r="A33" s="6" t="s">
        <v>115</v>
      </c>
      <c r="B33" s="6"/>
      <c r="C33" s="6" t="s">
        <v>131</v>
      </c>
      <c r="D33" s="6" t="s">
        <v>61</v>
      </c>
      <c r="E33" s="7" t="s">
        <v>132</v>
      </c>
      <c r="F33" s="7" t="s">
        <v>133</v>
      </c>
      <c r="G33" s="6"/>
      <c r="H33" s="6"/>
      <c r="I33" s="6"/>
      <c r="J33" s="6"/>
      <c r="K33" s="6"/>
      <c r="L33" s="6"/>
      <c r="M33" s="6"/>
      <c r="N33" s="6"/>
      <c r="O33" s="6"/>
    </row>
    <row r="34" customFormat="false" ht="23.85" hidden="false" customHeight="false" outlineLevel="0" collapsed="false">
      <c r="A34" s="6" t="s">
        <v>115</v>
      </c>
      <c r="B34" s="6"/>
      <c r="C34" s="6" t="s">
        <v>134</v>
      </c>
      <c r="D34" s="6" t="s">
        <v>56</v>
      </c>
      <c r="E34" s="7" t="s">
        <v>135</v>
      </c>
      <c r="F34" s="7" t="s">
        <v>58</v>
      </c>
      <c r="G34" s="6" t="s">
        <v>136</v>
      </c>
      <c r="H34" s="6"/>
      <c r="I34" s="6"/>
      <c r="J34" s="6"/>
      <c r="K34" s="6"/>
      <c r="L34" s="6"/>
      <c r="M34" s="6"/>
      <c r="N34" s="6"/>
      <c r="O34" s="6"/>
    </row>
    <row r="35" customFormat="false" ht="15" hidden="false" customHeight="false" outlineLevel="0" collapsed="false">
      <c r="A35" s="6" t="s">
        <v>115</v>
      </c>
      <c r="B35" s="6"/>
      <c r="C35" s="6" t="s">
        <v>137</v>
      </c>
      <c r="D35" s="6" t="s">
        <v>138</v>
      </c>
      <c r="E35" s="7" t="s">
        <v>139</v>
      </c>
      <c r="F35" s="7" t="s">
        <v>140</v>
      </c>
      <c r="G35" s="6"/>
      <c r="H35" s="6"/>
      <c r="I35" s="6"/>
      <c r="J35" s="6"/>
      <c r="K35" s="6"/>
      <c r="L35" s="6"/>
      <c r="M35" s="6"/>
      <c r="N35" s="6"/>
      <c r="O35" s="6"/>
    </row>
    <row r="36" customFormat="false" ht="15" hidden="false" customHeight="false" outlineLevel="0" collapsed="false">
      <c r="A36" s="6" t="s">
        <v>115</v>
      </c>
      <c r="B36" s="6"/>
      <c r="C36" s="6" t="s">
        <v>141</v>
      </c>
      <c r="D36" s="6" t="s">
        <v>102</v>
      </c>
      <c r="E36" s="7" t="s">
        <v>112</v>
      </c>
      <c r="F36" s="7" t="s">
        <v>113</v>
      </c>
      <c r="G36" s="6"/>
      <c r="H36" s="6"/>
      <c r="I36" s="6"/>
      <c r="J36" s="6"/>
      <c r="K36" s="6"/>
      <c r="L36" s="6"/>
      <c r="M36" s="6"/>
      <c r="N36" s="6"/>
      <c r="O36" s="6"/>
    </row>
    <row r="37" customFormat="false" ht="15" hidden="false" customHeight="false" outlineLevel="0" collapsed="false">
      <c r="A37" s="6" t="s">
        <v>115</v>
      </c>
      <c r="B37" s="6"/>
      <c r="C37" s="6" t="s">
        <v>45</v>
      </c>
      <c r="D37" s="6" t="s">
        <v>46</v>
      </c>
      <c r="E37" s="6"/>
      <c r="F37" s="7" t="s">
        <v>47</v>
      </c>
      <c r="G37" s="6" t="s">
        <v>142</v>
      </c>
      <c r="H37" s="6"/>
      <c r="I37" s="6"/>
      <c r="J37" s="6"/>
      <c r="K37" s="6"/>
      <c r="L37" s="6"/>
      <c r="M37" s="6"/>
      <c r="N37" s="6"/>
      <c r="O37" s="6"/>
    </row>
    <row r="38" customFormat="false" ht="15" hidden="false" customHeight="false" outlineLevel="0" collapsed="false">
      <c r="A38" s="6" t="s">
        <v>115</v>
      </c>
      <c r="B38" s="6"/>
      <c r="C38" s="6" t="s">
        <v>16</v>
      </c>
      <c r="D38" s="6" t="s">
        <v>16</v>
      </c>
      <c r="E38" s="6"/>
      <c r="F38" s="7" t="s">
        <v>17</v>
      </c>
      <c r="G38" s="6" t="s">
        <v>142</v>
      </c>
      <c r="H38" s="6"/>
      <c r="I38" s="6"/>
      <c r="J38" s="6"/>
      <c r="K38" s="6"/>
      <c r="L38" s="6"/>
      <c r="M38" s="6"/>
      <c r="N38" s="6"/>
      <c r="O38" s="6"/>
    </row>
    <row r="39" customFormat="false" ht="15" hidden="false" customHeight="false" outlineLevel="0" collapsed="false">
      <c r="A39" s="6" t="s">
        <v>115</v>
      </c>
      <c r="B39" s="6"/>
      <c r="C39" s="6" t="s">
        <v>60</v>
      </c>
      <c r="D39" s="6" t="s">
        <v>61</v>
      </c>
      <c r="E39" s="7" t="s">
        <v>62</v>
      </c>
      <c r="F39" s="7" t="s">
        <v>63</v>
      </c>
      <c r="G39" s="6" t="s">
        <v>143</v>
      </c>
      <c r="H39" s="6"/>
      <c r="I39" s="6"/>
      <c r="J39" s="6"/>
      <c r="K39" s="6"/>
      <c r="L39" s="6"/>
      <c r="M39" s="6"/>
      <c r="N39" s="6"/>
      <c r="O39" s="6"/>
    </row>
  </sheetData>
  <dataValidations count="4">
    <dataValidation allowBlank="true" errorStyle="stop" operator="between" showDropDown="false" showErrorMessage="false" showInputMessage="false" sqref="J2:J39" type="list">
      <formula1>"Já,Nei,Ekkert svar"</formula1>
      <formula2>0</formula2>
    </dataValidation>
    <dataValidation allowBlank="true" errorStyle="stop" operator="between" showDropDown="false" showErrorMessage="false" showInputMessage="false" sqref="K2:K39" type="list">
      <formula1>"Mjög áhugasamur,Áhugasamur,Kannski,Ekki áhugasamur,Ekki svar"</formula1>
      <formula2>0</formula2>
    </dataValidation>
    <dataValidation allowBlank="true" errorStyle="stop" operator="between" showDropDown="false" showErrorMessage="false" showInputMessage="false" sqref="L2:L39" type="list">
      <formula1>"Já,Nei,Bíður"</formula1>
      <formula2>0</formula2>
    </dataValidation>
    <dataValidation allowBlank="true" errorStyle="stop" operator="between" showDropDown="false" showErrorMessage="false" showInputMessage="false" sqref="I2:I39" type="list">
      <formula1>"IG DM,FB Messenger,Email,Símtal,Persónulega"</formula1>
      <formula2>0</formula2>
    </dataValidation>
  </dataValidations>
  <hyperlinks>
    <hyperlink ref="F2" r:id="rId1" display="fb: alftanes"/>
    <hyperlink ref="E3" r:id="rId2" display="@arborgfc"/>
    <hyperlink ref="F3" r:id="rId3" display="fb: arborgfc"/>
    <hyperlink ref="F4" r:id="rId4" display="fb: pages/category/Sports-team/%C3%9A..."/>
    <hyperlink ref="F5" r:id="rId5" display="fb: EllidiFC"/>
    <hyperlink ref="E6" r:id="rId6" display="@vaengir_jupiters"/>
    <hyperlink ref="F6" r:id="rId7" display="fb: vaengirjupiters"/>
    <hyperlink ref="F7" r:id="rId8" display="fb: hamar.knattspyrna"/>
    <hyperlink ref="E8" r:id="rId9" display="@hafnir_kf"/>
    <hyperlink ref="F8" r:id="rId10" display="fb: KFHafnir"/>
    <hyperlink ref="F9" r:id="rId11" display="fb: KFAlafoss"/>
    <hyperlink ref="F10" r:id="rId12" display="fb: KnattspyrnufelagRangaeinga"/>
    <hyperlink ref="E11" r:id="rId13" display="@ihfotbolti"/>
    <hyperlink ref="F11" r:id="rId14" display="fb: p/%C3%8DH-100063566743991"/>
    <hyperlink ref="E12" r:id="rId15" display="@throttur"/>
    <hyperlink ref="F12" r:id="rId16" display="fb: ThrotturKnattspyrna"/>
    <hyperlink ref="E13" r:id="rId17" display="@kf_smari"/>
    <hyperlink ref="F13" r:id="rId18" display="fb: 61564912055987"/>
    <hyperlink ref="F14" r:id="rId19" display="fb: fotboltiskallagrimur"/>
    <hyperlink ref="F15" r:id="rId20" display="fb: uppsveitir"/>
    <hyperlink ref="E16" r:id="rId21" display="@thorlakurfc"/>
    <hyperlink ref="F16" r:id="rId22" display="fb: thorlakurfc"/>
    <hyperlink ref="F17" r:id="rId23" display="fb: KFSVestmannaeyjar"/>
    <hyperlink ref="F18" r:id="rId24" display="fb: hordur.isafjordur"/>
    <hyperlink ref="F20" r:id="rId25" display="fb: hamrarnir"/>
    <hyperlink ref="E21" r:id="rId26" display="@kmreykjavik"/>
    <hyperlink ref="F21" r:id="rId27" display="fb: kmreykjavik"/>
    <hyperlink ref="E22" r:id="rId28" display="@kria.fotbolti"/>
    <hyperlink ref="F22" r:id="rId29" display="fb: kria.is"/>
    <hyperlink ref="F23" r:id="rId30" display="fb: p/Knattspyrnuf%C3%A9lagi%C3%B0-RB..."/>
    <hyperlink ref="E24" r:id="rId31" display="@mflstokkseyri"/>
    <hyperlink ref="F24" r:id="rId32" display="fb: MeistaraflokkurStokkseyrar"/>
    <hyperlink ref="E25" r:id="rId33" display="@breidholts"/>
    <hyperlink ref="F25" r:id="rId34" display="fb: KBLeiknir"/>
    <hyperlink ref="E26" r:id="rId35" display="@bf108rvk"/>
    <hyperlink ref="E27" r:id="rId36" display="@irfotbolti"/>
    <hyperlink ref="F27" r:id="rId37" display="fb: IRFotbolti"/>
    <hyperlink ref="F28" r:id="rId38" display="fb: umfeinherji"/>
    <hyperlink ref="E29" r:id="rId39" display="@fjolnir_fc"/>
    <hyperlink ref="F29" r:id="rId40" display="fb: fjolnirfc"/>
    <hyperlink ref="E30" r:id="rId41" display="@aftureldingknattspyrna"/>
    <hyperlink ref="F30" r:id="rId42" display="fb: aftureldingknattspyrna"/>
    <hyperlink ref="E31" r:id="rId43" display="@vestriknattspyrnakvk"/>
    <hyperlink ref="F31" r:id="rId44" display="fb: Vestri.Knattspyrna"/>
    <hyperlink ref="E32" r:id="rId45" display="@fylkirknd"/>
    <hyperlink ref="F32" r:id="rId46" display="fb: fylkir"/>
    <hyperlink ref="E33" r:id="rId47" display="@augnablik.kk"/>
    <hyperlink ref="F33" r:id="rId48" display="fb: augnablikar"/>
    <hyperlink ref="E34" r:id="rId49" display="@throtturmflkvk"/>
    <hyperlink ref="F34" r:id="rId50" display="fb: ThrotturKnattspyrna"/>
    <hyperlink ref="E35" r:id="rId51" display="@dalvikreynir"/>
    <hyperlink ref="F35" r:id="rId52" display="fb: dalviksport"/>
    <hyperlink ref="E36" r:id="rId53" display="@irfotbolti"/>
    <hyperlink ref="F36" r:id="rId54" display="fb: IRFotbolti"/>
    <hyperlink ref="F37" r:id="rId55" display="fb: KnattspyrnufelagRangaeinga"/>
    <hyperlink ref="F38" r:id="rId56" display="fb: alftanes"/>
    <hyperlink ref="E39" r:id="rId57" display="@kf_smari"/>
    <hyperlink ref="F39" r:id="rId58" display="fb: 6156491205598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9.7" hidden="false" customHeight="false" outlineLevel="0" collapsed="false">
      <c r="A1" s="8" t="s">
        <v>144</v>
      </c>
      <c r="B1" s="8"/>
    </row>
    <row r="3" customFormat="false" ht="15" hidden="false" customHeight="false" outlineLevel="0" collapsed="false">
      <c r="A3" s="9" t="s">
        <v>145</v>
      </c>
      <c r="B3" s="10" t="n">
        <f aca="false">COUNTA(Tracker!C2:C39)</f>
        <v>38</v>
      </c>
    </row>
    <row r="4" customFormat="false" ht="15" hidden="false" customHeight="false" outlineLevel="0" collapsed="false">
      <c r="A4" s="11"/>
      <c r="B4" s="10"/>
    </row>
    <row r="5" customFormat="false" ht="15" hidden="false" customHeight="false" outlineLevel="0" collapsed="false">
      <c r="A5" s="9" t="s">
        <v>15</v>
      </c>
      <c r="B5" s="10" t="n">
        <f aca="false">COUNTIF(Tracker!A2:A39,"4. deild karla")</f>
        <v>10</v>
      </c>
    </row>
    <row r="6" customFormat="false" ht="15" hidden="false" customHeight="false" outlineLevel="0" collapsed="false">
      <c r="A6" s="9" t="s">
        <v>53</v>
      </c>
      <c r="B6" s="10" t="n">
        <f aca="false">COUNTIF(Tracker!A2:A39,"5. deild karla")</f>
        <v>16</v>
      </c>
    </row>
    <row r="7" customFormat="false" ht="15" hidden="false" customHeight="false" outlineLevel="0" collapsed="false">
      <c r="A7" s="9" t="s">
        <v>115</v>
      </c>
      <c r="B7" s="10" t="n">
        <f aca="false">COUNTIF(Tracker!A2:A39,"2. deild kvenna")</f>
        <v>12</v>
      </c>
    </row>
    <row r="8" customFormat="false" ht="15" hidden="false" customHeight="false" outlineLevel="0" collapsed="false">
      <c r="A8" s="11"/>
      <c r="B8" s="10"/>
    </row>
    <row r="9" customFormat="false" ht="15" hidden="false" customHeight="false" outlineLevel="0" collapsed="false">
      <c r="A9" s="9" t="s">
        <v>146</v>
      </c>
      <c r="B9" s="10" t="n">
        <f aca="false">COUNTA(Tracker!H2:H39)</f>
        <v>0</v>
      </c>
    </row>
    <row r="10" customFormat="false" ht="15" hidden="false" customHeight="false" outlineLevel="0" collapsed="false">
      <c r="A10" s="9" t="s">
        <v>147</v>
      </c>
      <c r="B10" s="10" t="n">
        <f aca="false">COUNTIF(Tracker!J2:J39,"Já")</f>
        <v>0</v>
      </c>
    </row>
    <row r="11" customFormat="false" ht="15" hidden="false" customHeight="false" outlineLevel="0" collapsed="false">
      <c r="A11" s="9" t="s">
        <v>148</v>
      </c>
      <c r="B11" s="10" t="n">
        <f aca="false">COUNTIF(Tracker!K2:K39,"Mjög áhugasamur")+COUNTIF(Tracker!K2:K39,"Áhugasamur")</f>
        <v>0</v>
      </c>
    </row>
    <row r="12" customFormat="false" ht="15" hidden="false" customHeight="false" outlineLevel="0" collapsed="false">
      <c r="A12" s="9" t="s">
        <v>149</v>
      </c>
      <c r="B12" s="10" t="n">
        <f aca="false">COUNTIF(Tracker!L2:L39,"Já")</f>
        <v>0</v>
      </c>
    </row>
    <row r="13" customFormat="false" ht="15" hidden="false" customHeight="false" outlineLevel="0" collapsed="false">
      <c r="A13" s="11"/>
      <c r="B13" s="10"/>
    </row>
    <row r="14" customFormat="false" ht="15" hidden="false" customHeight="false" outlineLevel="0" collapsed="false">
      <c r="A14" s="9" t="s">
        <v>150</v>
      </c>
      <c r="B14" s="12" t="str">
        <f aca="false">IF(COUNTA(Tracker!H2:H39)=0,"-",COUNTIF(Tracker!J2:J39,"Já")/COUNTA(Tracker!H2:H39))</f>
        <v>-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3" t="s">
        <v>151</v>
      </c>
    </row>
    <row r="2" customFormat="false" ht="15" hidden="false" customHeight="false" outlineLevel="0" collapsed="false">
      <c r="A2" s="14"/>
    </row>
    <row r="3" customFormat="false" ht="15" hidden="false" customHeight="false" outlineLevel="0" collapsed="false">
      <c r="A3" s="14" t="s">
        <v>152</v>
      </c>
    </row>
    <row r="4" customFormat="false" ht="15" hidden="false" customHeight="false" outlineLevel="0" collapsed="false">
      <c r="A4" s="14" t="s">
        <v>153</v>
      </c>
    </row>
    <row r="5" customFormat="false" ht="15" hidden="false" customHeight="false" outlineLevel="0" collapsed="false">
      <c r="A5" s="14" t="s">
        <v>154</v>
      </c>
    </row>
    <row r="6" customFormat="false" ht="15" hidden="false" customHeight="false" outlineLevel="0" collapsed="false">
      <c r="A6" s="14" t="s">
        <v>155</v>
      </c>
    </row>
    <row r="7" customFormat="false" ht="15" hidden="false" customHeight="false" outlineLevel="0" collapsed="false">
      <c r="A7" s="14"/>
    </row>
    <row r="8" customFormat="false" ht="15" hidden="false" customHeight="false" outlineLevel="0" collapsed="false">
      <c r="A8" s="14" t="s">
        <v>156</v>
      </c>
    </row>
    <row r="9" customFormat="false" ht="15" hidden="false" customHeight="false" outlineLevel="0" collapsed="false">
      <c r="A9" s="14" t="s">
        <v>157</v>
      </c>
    </row>
    <row r="10" customFormat="false" ht="15" hidden="false" customHeight="false" outlineLevel="0" collapsed="false">
      <c r="A10" s="14" t="s">
        <v>158</v>
      </c>
    </row>
    <row r="11" customFormat="false" ht="15" hidden="false" customHeight="false" outlineLevel="0" collapsed="false">
      <c r="A11" s="14" t="s">
        <v>159</v>
      </c>
    </row>
    <row r="12" customFormat="false" ht="15" hidden="false" customHeight="false" outlineLevel="0" collapsed="false">
      <c r="A12" s="14"/>
    </row>
    <row r="13" customFormat="false" ht="15" hidden="false" customHeight="false" outlineLevel="0" collapsed="false">
      <c r="A13" s="14" t="s">
        <v>160</v>
      </c>
    </row>
    <row r="14" customFormat="false" ht="15" hidden="false" customHeight="false" outlineLevel="0" collapsed="false">
      <c r="A14" s="14" t="s">
        <v>161</v>
      </c>
    </row>
    <row r="15" customFormat="false" ht="15" hidden="false" customHeight="false" outlineLevel="0" collapsed="false">
      <c r="A15" s="14"/>
    </row>
    <row r="16" customFormat="false" ht="15" hidden="false" customHeight="false" outlineLevel="0" collapsed="false">
      <c r="A16" s="14" t="s">
        <v>162</v>
      </c>
    </row>
    <row r="17" customFormat="false" ht="15" hidden="false" customHeight="false" outlineLevel="0" collapsed="false">
      <c r="A17" s="14" t="s">
        <v>163</v>
      </c>
    </row>
    <row r="18" customFormat="false" ht="15" hidden="false" customHeight="false" outlineLevel="0" collapsed="false">
      <c r="A18" s="14" t="s">
        <v>164</v>
      </c>
    </row>
    <row r="19" customFormat="false" ht="15" hidden="false" customHeight="false" outlineLevel="0" collapsed="false">
      <c r="A19" s="14" t="s">
        <v>165</v>
      </c>
    </row>
    <row r="20" customFormat="false" ht="15" hidden="false" customHeight="false" outlineLevel="0" collapsed="false">
      <c r="A20" s="14" t="s">
        <v>166</v>
      </c>
    </row>
    <row r="21" customFormat="false" ht="15" hidden="false" customHeight="false" outlineLevel="0" collapsed="false">
      <c r="A21" s="14"/>
    </row>
    <row r="22" customFormat="false" ht="15" hidden="false" customHeight="false" outlineLevel="0" collapsed="false">
      <c r="A22" s="14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2026-05-19T06:47:13Z</dcterms:created>
  <dc:creator>openpyxl</dc:creator>
  <dc:description/>
  <dc:language>en-US</dc:language>
  <cp:lastModifiedBy/>
  <dcterms:modified xsi:type="dcterms:W3CDTF">2026-05-19T06:47:13Z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